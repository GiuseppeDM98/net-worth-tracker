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>
    <mc:Choice Requires="x15">
      <x15ac:absPath xmlns:x15ac="http://schemas.microsoft.com/office/spreadsheetml/2010/11/ac" url="/Users/technology/Git/portale-clienti-be/src/main/resources/templates/xlsx_export/"/>
    </mc:Choice>
  </mc:AlternateContent>
  <xr:revisionPtr revIDLastSave="0" documentId="13_ncr:1_{71849492-F4ED-474F-AD9E-DE5E092A452B}" xr6:coauthVersionLast="47" xr6:coauthVersionMax="47" xr10:uidLastSave="{00000000-0000-0000-0000-000000000000}"/>
  <bookViews>
    <workbookView xWindow="0" yWindow="0" windowWidth="28800" windowHeight="18000" activeTab="0" xr2:uid="{00000000-000D-0000-FFFF-FFFF00000000}" firstSheet="0"/>
  </bookViews>
  <sheets>
    <sheet name="AZIMUT - GESTITO" sheetId="1" r:id="rId1"/>
    <sheet name="AZIMUT - ECONOMIA REALE" sheetId="2" r:id="rId2"/>
    <sheet name="AZIMUT - AMMINISTRATO" sheetId="6" r:id="rId6"/>
    <sheet name="AZIMUT - LIQUIDITA" sheetId="7" r:id="rId7"/>
  </sheets>
  <definedNames>
    <definedName name="Tabella" localSheetId="2">#REF!</definedName>
    <definedName name="Tabella" localSheetId="1">'AZIMUT - ECONOMIA REALE'!$A$9:$I$9</definedName>
    <definedName name="Tabella" localSheetId="3">#REF!</definedName>
    <definedName name="Tabella">'AZIMUT - GESTITO'!$A$9:$M$9</definedName>
    <definedName name="_xlnm._FilterDatabase" localSheetId="0" hidden="true">'AZIMUT - GESTITO'!$A$8:$M$16</definedName>
    <definedName name="_xlnm._FilterDatabase" localSheetId="1" hidden="true">'AZIMUT - ECONOMIA REALE'!$A$8:$I$19</definedName>
    <definedName name="_xlnm._FilterDatabase" localSheetId="2" hidden="true">'AZIMUT - AMMINISTRATO'!$A$8:$J$38</definedName>
    <definedName name="_xlnm._FilterDatabase" localSheetId="3" hidden="true">'AZIMUT - LIQUIDITA'!$A$8:$H$9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<sst xmlns="http://schemas.openxmlformats.org/spreadsheetml/2006/main" count="290" uniqueCount="143">
  <si>
    <t>PORTAFOGLIO</t>
  </si>
  <si>
    <t>Cliente:</t>
  </si>
  <si>
    <t>Data:</t>
  </si>
  <si>
    <t>ECONOMIA REALE</t>
  </si>
  <si>
    <t>COMMITMENT</t>
  </si>
  <si>
    <t>Tipologia</t>
  </si>
  <si>
    <t>Macro Prodotto</t>
  </si>
  <si>
    <t>Prodotto</t>
  </si>
  <si>
    <t>Contratto</t>
  </si>
  <si>
    <t>Impegni</t>
  </si>
  <si>
    <t>Versato avvalorato</t>
  </si>
  <si>
    <t>Versato non ancora avv.</t>
  </si>
  <si>
    <t>Controvalore (€)</t>
  </si>
  <si>
    <t>Data</t>
  </si>
  <si>
    <t>Proventi/Rimborsi</t>
  </si>
  <si>
    <t>GESTITO</t>
  </si>
  <si>
    <t>Quantita'</t>
  </si>
  <si>
    <t>Divisa</t>
  </si>
  <si>
    <t>Prezzo medio di carico</t>
  </si>
  <si>
    <t>Carico medio cambio</t>
  </si>
  <si>
    <t>Valore quota divisa</t>
  </si>
  <si>
    <t>Cambio</t>
  </si>
  <si>
    <t>Controvalore</t>
  </si>
  <si>
    <t>Rendimento (€)</t>
  </si>
  <si>
    <t>Rendimento %</t>
  </si>
  <si>
    <t>ASSICURATIVO FINANZIARIO</t>
  </si>
  <si>
    <t>PREVIDENZA</t>
  </si>
  <si>
    <t>Partite Viaggianti</t>
  </si>
  <si>
    <t>Saldo posizione</t>
  </si>
  <si>
    <t>ASSICURATIVO TRADIZIONALE</t>
  </si>
  <si>
    <t>Totale premi versati</t>
  </si>
  <si>
    <t>AMMINISTRATO</t>
  </si>
  <si>
    <t>LIQUIDITA'</t>
  </si>
  <si>
    <t>Saldo contabile</t>
  </si>
  <si>
    <t>Data saldo contabile</t>
  </si>
  <si>
    <t>Saldo liquido</t>
  </si>
  <si>
    <t>Data saldo liquido</t>
  </si>
  <si>
    <t>Saldo disponibile</t>
  </si>
  <si>
    <t>Data saldo disponibile</t>
  </si>
  <si>
    <t>000000000 - CLIENTE DI PROVA</t>
  </si>
  <si>
    <t>SICAV</t>
  </si>
  <si>
    <t>BLACKROCK GLOBAL FUNDS</t>
  </si>
  <si>
    <t>BGF WORLD HEALTHSCIENCE "E2" (EUR) ACC</t>
  </si>
  <si>
    <t>0100000000</t>
  </si>
  <si>
    <t>266,95</t>
  </si>
  <si>
    <t>EUR</t>
  </si>
  <si>
    <t>56,19 EUR</t>
  </si>
  <si>
    <t>1,00</t>
  </si>
  <si>
    <t>64,10 EUR</t>
  </si>
  <si>
    <t>17.111,50 EUR</t>
  </si>
  <si>
    <t>FIDELITY FUNDS</t>
  </si>
  <si>
    <t>FIDELITY FUNDS GLOBAL MULTI ASSET DEFENSIVE FUND "A" (EUR) ACC</t>
  </si>
  <si>
    <t>0100000007</t>
  </si>
  <si>
    <t>1.072,11</t>
  </si>
  <si>
    <t>13,71 EUR</t>
  </si>
  <si>
    <t>13,82 EUR</t>
  </si>
  <si>
    <t>14.816,56 EUR</t>
  </si>
  <si>
    <t>FIDELITY GLOBAL DIVIDEND "A" (EURHDG) ACC</t>
  </si>
  <si>
    <t>443,08</t>
  </si>
  <si>
    <t>33,85 EUR</t>
  </si>
  <si>
    <t>37,74 EUR</t>
  </si>
  <si>
    <t>16.721,84 EUR</t>
  </si>
  <si>
    <t>MORGAN STANLEY INVESTMENT FUNDS</t>
  </si>
  <si>
    <t>MORGAN STANLEY INVESTMENT FUNDS GLOBAL BRANDS "A" (USD) ACC</t>
  </si>
  <si>
    <t>0100000014</t>
  </si>
  <si>
    <t>33,40</t>
  </si>
  <si>
    <t>224,52 EUR</t>
  </si>
  <si>
    <t>1,04</t>
  </si>
  <si>
    <t>210,04 USD</t>
  </si>
  <si>
    <t>1,12</t>
  </si>
  <si>
    <t>6.255,14 EUR</t>
  </si>
  <si>
    <t>R VALOR</t>
  </si>
  <si>
    <t>R-CO VALOR "C" (EUR) ACC</t>
  </si>
  <si>
    <t>0100000021</t>
  </si>
  <si>
    <t>6,93</t>
  </si>
  <si>
    <t>3.610,10 EUR</t>
  </si>
  <si>
    <t>3.916,80 EUR</t>
  </si>
  <si>
    <t>27.123,84 EUR</t>
  </si>
  <si>
    <t>T.ROWE PRICE FUNDS SICAV</t>
  </si>
  <si>
    <t>T ROWE PRICE GLOBAL VALUE EQUITY "A" (EUR) ACC</t>
  </si>
  <si>
    <t>0100000028</t>
  </si>
  <si>
    <t>646,23</t>
  </si>
  <si>
    <t>24,14 EUR</t>
  </si>
  <si>
    <t>28,47 EUR</t>
  </si>
  <si>
    <t>18.398,17 EUR</t>
  </si>
  <si>
    <t>Totale SICAV:</t>
  </si>
  <si>
    <t>Totale portafoglio:</t>
  </si>
  <si>
    <t>Private Debt</t>
  </si>
  <si>
    <t>AZ ELTIF DIGITAL LENDING</t>
  </si>
  <si>
    <t>AZIMUT ELTIF - PRIVATE DEBT DIGITAL LENDING CL.D</t>
  </si>
  <si>
    <t>0100000035</t>
  </si>
  <si>
    <t>N/D</t>
  </si>
  <si>
    <t>AZ ELTIF PRIVATE DEBT CAPITAL SOLUTIONS</t>
  </si>
  <si>
    <t>AZIMUT ELTIF - PRIVATE DEBT CAPITAL SOLUTIONS CL.D</t>
  </si>
  <si>
    <t>0100000042</t>
  </si>
  <si>
    <t>AZ ELTIF PRIVATE DEBT DIGITAL MULTISTRATEGY</t>
  </si>
  <si>
    <t>AZIMUT ELTIF - PRIVATE DEBT DIGITAL MULTISTRATEGY CL.D</t>
  </si>
  <si>
    <t>0100000049</t>
  </si>
  <si>
    <t>PRIVATE DEBT</t>
  </si>
  <si>
    <t>AZIMUT PRIVATE DEBT RET</t>
  </si>
  <si>
    <t>0100000056</t>
  </si>
  <si>
    <t>Totale Private Debt:</t>
  </si>
  <si>
    <t>Private Equity</t>
  </si>
  <si>
    <t>AZ ELTIF OPHELIA</t>
  </si>
  <si>
    <t>AZIMUT ELTIF - PRIVATE EQUITY OPHELIA CL.B</t>
  </si>
  <si>
    <t>0100000063</t>
  </si>
  <si>
    <t>AZIMUT ELTIF PRIVATE EQUITY DEMOS 2.0</t>
  </si>
  <si>
    <t>AZIMUT ELTIF - PRIVATE EQUITY DEMOS 2.0 CL.B</t>
  </si>
  <si>
    <t>0100000070</t>
  </si>
  <si>
    <t>Totale Private Equity:</t>
  </si>
  <si>
    <t>90.600,00</t>
  </si>
  <si>
    <t>Obbligazioni</t>
  </si>
  <si>
    <t>BTP 0,35% 17 NOV 2028 EUR</t>
  </si>
  <si>
    <t>00-0000000000-000000000</t>
  </si>
  <si>
    <t>BTP 2,70% 15.10.2027 EUR</t>
  </si>
  <si>
    <t>BTP FUTURA 14 LG 30 1,15% STEP-UP</t>
  </si>
  <si>
    <t>BUNDES 15 MG 2035 0% EUR</t>
  </si>
  <si>
    <t>Totale Obbligazioni:</t>
  </si>
  <si>
    <t>Azioni</t>
  </si>
  <si>
    <t>BASF A.G. (BAS GY) EUR</t>
  </si>
  <si>
    <t>ENEL ORD (ENEL IM)</t>
  </si>
  <si>
    <t>ESSILORLUXOTTICA SA (EL FP) PARIGI EUR</t>
  </si>
  <si>
    <t>LOUIS VUITTON MOET HEN. EU (MC FP)</t>
  </si>
  <si>
    <t>VISA INC CLASS A(V UN)</t>
  </si>
  <si>
    <t>USD</t>
  </si>
  <si>
    <t>Totale Azioni:</t>
  </si>
  <si>
    <t>ETF e altri strumenti</t>
  </si>
  <si>
    <t>COINSHARES PHYSICAL BITCOIN (BITC GY) EUR</t>
  </si>
  <si>
    <t>DB X-TRACKERS DAX (XDAX IM) EU</t>
  </si>
  <si>
    <t>FIRST TRUST CLEAN EDGE SMART GRID ETF (GRID IM)</t>
  </si>
  <si>
    <t>FRANKLIN FTSE INDIA UCITS ETF (FLXI IM) EUR</t>
  </si>
  <si>
    <t>ISHARES MSCI WORLD EUR HEDGED (IWDE IM) EUR</t>
  </si>
  <si>
    <t>KRANESHARES ICBCCS SSE STAR MARK 50 (KSTR IM) EUR</t>
  </si>
  <si>
    <t>LYXOR EURO CASH EONIA(LEONIA IM)</t>
  </si>
  <si>
    <t>WISDOMTREE WHEAT-SPV ETC (WEAT IM) EUR</t>
  </si>
  <si>
    <t>WT EUR HEDGED COPPER (ECOP IM)</t>
  </si>
  <si>
    <t>WT EUR HEDGED GOLD (GBSE IM)</t>
  </si>
  <si>
    <t>WT EUR HEDGED SILVER (ESVR IM)</t>
  </si>
  <si>
    <t>WT LONG JPY SHORT EUR (EUJP IM)</t>
  </si>
  <si>
    <t>WT SHT USD LONG EUR (USEU IM) EUR</t>
  </si>
  <si>
    <t>Totale ETF e altri strumenti:</t>
  </si>
  <si>
    <t>Conti correnti</t>
  </si>
  <si>
    <t>Conto Corrente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</si>
</sst>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#,##0.00 [$EUR]"/>
    <numFmt numFmtId="166" formatCode="#,##0.00 [$USD]"/>
  </numFmts>
  <fonts count="20" x14ac:knownFonts="1">
    <font>
      <sz val="11"/>
      <color theme="1"/>
      <name val="Calibri"/>
      <family val="2"/>
      <scheme val="minor"/>
    </font>
    <font>
      <b/>
      <sz val="10"/>
      <color indexed="63"/>
      <name val="Arial"/>
      <family val="2"/>
    </font>
    <font>
      <b/>
      <sz val="17"/>
      <color indexed="21"/>
      <name val="Arial"/>
      <family val="2"/>
    </font>
    <font>
      <sz val="11"/>
      <color theme="1"/>
      <name val="Arial"/>
      <family val="2"/>
    </font>
    <font>
      <sz val="9"/>
      <color indexed="63"/>
      <name val="Arial"/>
      <family val="2"/>
    </font>
    <font>
      <sz val="9"/>
      <color theme="1"/>
      <name val="Arial"/>
      <family val="2"/>
    </font>
    <font>
      <b/>
      <sz val="12"/>
      <color rgb="FF0070C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333333"/>
      <name val="Arial"/>
      <family val="2"/>
    </font>
    <font>
      <name val="Arial"/>
      <sz val="11.0"/>
      <b val="true"/>
      <color indexed="18"/>
    </font>
    <font>
      <name val="Arial"/>
      <sz val="11.0"/>
      <b val="true"/>
      <color indexed="18"/>
    </font>
    <font>
      <name val="Arial"/>
      <sz val="11.0"/>
      <b val="true"/>
      <color indexed="18"/>
    </font>
    <font>
      <name val="Arial"/>
      <sz val="11.0"/>
      <b val="true"/>
      <color indexed="18"/>
    </font>
    <font>
      <name val="Arial"/>
      <sz val="11.0"/>
      <b val="true"/>
      <color indexed="18"/>
    </font>
    <font>
      <name val="Arial"/>
      <sz val="11.0"/>
      <b val="true"/>
      <color indexed="18"/>
    </font>
    <font>
      <name val="Arial"/>
      <sz val="11.0"/>
      <b val="true"/>
      <color indexed="18"/>
    </font>
    <font>
      <name val="Arial"/>
      <sz val="11.0"/>
      <b val="true"/>
      <color indexed="18"/>
    </font>
    <font>
      <name val="Arial"/>
      <sz val="11.0"/>
      <b val="true"/>
      <color indexed="18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/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8080"/>
      </bottom>
      <diagonal/>
    </border>
    <border>
      <left/>
      <right/>
      <top style="medium">
        <color rgb="FF008080"/>
      </top>
      <bottom/>
      <diagonal/>
    </border>
    <border>
      <left/>
      <right/>
      <top style="medium">
        <color theme="0"/>
      </top>
      <bottom style="hair">
        <color rgb="FFC0C0C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3" borderId="0" xfId="0" applyFont="1" applyFill="1"/>
    <xf numFmtId="0" fontId="5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9" fillId="6" borderId="0" xfId="0" applyFont="1" applyFill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4" fillId="2" borderId="0" xfId="0" applyFont="1" applyFill="1" applyAlignment="1">
      <alignment horizontal="left"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0" fillId="0" borderId="2" xfId="0" applyBorder="1"/>
    <xf numFmtId="14" fontId="4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4" borderId="0" xfId="0" applyFont="1" applyFill="1" applyBorder="1" applyAlignment="1">
      <alignment horizontal="center" vertical="center" wrapText="1"/>
    </xf>
    <xf numFmtId="2" fontId="10" fillId="3" borderId="3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4" fontId="10" fillId="3" borderId="3" xfId="0" applyNumberFormat="1" applyFont="1" applyFill="1" applyBorder="1" applyAlignment="1">
      <alignment horizontal="center" vertical="center" wrapText="1"/>
    </xf>
    <xf numFmtId="2" fontId="10" fillId="5" borderId="3" xfId="0" applyNumberFormat="1" applyFont="1" applyFill="1" applyBorder="1" applyAlignment="1">
      <alignment horizontal="center" vertical="center" wrapText="1"/>
    </xf>
    <xf numFmtId="2" fontId="8" fillId="3" borderId="3" xfId="0" applyNumberFormat="1" applyFont="1" applyFill="1" applyBorder="1" applyAlignment="1">
      <alignment horizontal="center" vertical="center" wrapText="1"/>
    </xf>
    <xf numFmtId="0" fontId="4" fillId="8" borderId="0" xfId="0" applyFont="true" applyAlignment="true" applyFill="true" applyBorder="true">
      <alignment vertical="center" horizontal="center" wrapText="true"/>
    </xf>
    <xf numFmtId="164" fontId="4" fillId="8" borderId="0" xfId="0" applyNumberFormat="true" applyFont="true" applyAlignment="true" applyFill="true" applyBorder="true">
      <alignment vertical="center" horizontal="center"/>
    </xf>
    <xf numFmtId="0" fontId="4" fillId="8" borderId="0" xfId="0" applyFont="true" applyAlignment="true" applyFill="true" applyBorder="true">
      <alignment vertical="center" horizontal="center"/>
    </xf>
    <xf numFmtId="164" fontId="4" fillId="8" borderId="0" xfId="0" applyNumberFormat="true" applyFont="true" applyAlignment="true" applyFill="true" applyBorder="true">
      <alignment vertical="center" horizontal="left"/>
    </xf>
    <xf numFmtId="165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66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0" fontId="11" fillId="0" borderId="0" xfId="0" applyAlignment="true" applyFont="true">
      <alignment vertical="center"/>
    </xf>
    <xf numFmtId="0" fontId="12" fillId="0" borderId="0" xfId="0" applyAlignment="true" applyFont="true">
      <alignment vertical="center"/>
    </xf>
    <xf numFmtId="164" fontId="4" fillId="8" borderId="0" xfId="0" applyNumberFormat="true" applyFont="true" applyAlignment="true" applyFill="true" applyBorder="true">
      <alignment vertical="center" horizontal="left"/>
    </xf>
    <xf numFmtId="0" fontId="13" fillId="0" borderId="0" xfId="0" applyAlignment="true" applyFont="true">
      <alignment vertical="center"/>
    </xf>
    <xf numFmtId="0" fontId="14" fillId="0" borderId="0" xfId="0" applyAlignment="true" applyFont="true">
      <alignment vertical="center"/>
    </xf>
    <xf numFmtId="0" fontId="15" fillId="0" borderId="0" xfId="0" applyAlignment="true" applyFont="true">
      <alignment vertical="center"/>
    </xf>
    <xf numFmtId="164" fontId="4" fillId="8" borderId="0" xfId="0" applyNumberFormat="true" applyFont="true" applyAlignment="true" applyFill="true" applyBorder="true">
      <alignment vertical="center" horizontal="left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0" fontId="16" fillId="0" borderId="0" xfId="0" applyAlignment="true" applyFont="true">
      <alignment vertic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0" fontId="17" fillId="0" borderId="0" xfId="0" applyAlignment="true" applyFont="true">
      <alignment vertic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10" fontId="4" fillId="8" borderId="0" xfId="0" applyFont="true" applyAlignment="true" applyFill="true" applyBorder="true" applyNumberFormat="true">
      <alignment vertical="center" horizontal="center"/>
    </xf>
    <xf numFmtId="0" fontId="18" fillId="0" borderId="0" xfId="0" applyAlignment="true" applyFont="true">
      <alignment vertical="center"/>
    </xf>
    <xf numFmtId="0" fontId="19" fillId="0" borderId="0" xfId="0" applyAlignment="true" applyFont="true">
      <alignment vertical="center"/>
    </xf>
    <xf numFmtId="164" fontId="4" fillId="8" borderId="0" xfId="0" applyNumberFormat="true" applyFont="true" applyAlignment="true" applyFill="true" applyBorder="true">
      <alignment vertical="center" horizontal="left"/>
    </xf>
  </cellXfs>
  <cellStyles count="1">
    <cellStyle name="Normale" xfId="0" builtinId="0"/>
  </cellStyles>
  <dxfs count="3">
    <dxf>
      <fill>
        <patternFill>
          <bgColor rgb="FFC0C0C0"/>
        </patternFill>
      </fill>
      <border>
        <top style="hair">
          <color rgb="FFC0C0C0"/>
        </top>
        <bottom style="hair">
          <color rgb="FFC0C0C0"/>
        </bottom>
      </border>
    </dxf>
    <dxf>
      <font>
        <b/>
        <color theme="0"/>
      </font>
      <fill>
        <patternFill>
          <bgColor rgb="FF008080"/>
        </patternFill>
      </fill>
      <border>
        <bottom style="medium">
          <color theme="0"/>
        </bottom>
      </border>
    </dxf>
    <dxf>
      <font>
        <color rgb="FF333333"/>
      </font>
    </dxf>
  </dxfs>
  <tableStyles count="1" defaultTableStyle="TableStyleMedium2" defaultPivotStyle="PivotStyleLight16">
    <tableStyle name="Prometeia" pivot="0" count="3" xr9:uid="{00000000-0011-0000-FFFF-FFFF00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831850</xdr:colOff>
      <xdr:row>0</xdr:row>
      <xdr:rowOff>158750</xdr:rowOff>
    </xdr:from>
    <xdr:to>
      <xdr:col>11</xdr:col>
      <xdr:colOff>838200</xdr:colOff>
      <xdr:row>3</xdr:row>
      <xdr:rowOff>16510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21950" y="158750"/>
          <a:ext cx="1136650" cy="7556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355600</xdr:colOff>
      <xdr:row>0</xdr:row>
      <xdr:rowOff>177800</xdr:rowOff>
    </xdr:from>
    <xdr:to>
      <xdr:col>11</xdr:col>
      <xdr:colOff>664210</xdr:colOff>
      <xdr:row>3</xdr:row>
      <xdr:rowOff>136698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23600" y="177800"/>
          <a:ext cx="1447800" cy="855518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874346</xdr:colOff>
      <xdr:row>0</xdr:row>
      <xdr:rowOff>184150</xdr:rowOff>
    </xdr:from>
    <xdr:to>
      <xdr:col>9</xdr:col>
      <xdr:colOff>708025</xdr:colOff>
      <xdr:row>2</xdr:row>
      <xdr:rowOff>171450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22946" y="184150"/>
          <a:ext cx="916354" cy="5778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1346200</xdr:colOff>
      <xdr:row>0</xdr:row>
      <xdr:rowOff>152400</xdr:rowOff>
    </xdr:from>
    <xdr:to>
      <xdr:col>8</xdr:col>
      <xdr:colOff>3175</xdr:colOff>
      <xdr:row>2</xdr:row>
      <xdr:rowOff>59690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67600" y="152400"/>
          <a:ext cx="1257300" cy="4953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opLeftCell="A2" zoomScaleNormal="100" workbookViewId="0" tabSelected="true">
      <selection activeCell="A1" sqref="A1"/>
    </sheetView>
  </sheetViews>
  <sheetFormatPr baseColWidth="10" defaultColWidth="9.1640625" defaultRowHeight="14" x14ac:dyDescent="0.15"/>
  <cols>
    <col min="2" max="2" customWidth="true" style="1" width="65.83203125"/>
    <col min="1" max="1" customWidth="true" style="1" width="35.0"/>
    <col min="3" max="3" bestFit="true" customWidth="true" style="1" width="12.83203125"/>
    <col min="4" max="4" bestFit="true" customWidth="true" style="1" width="10.5"/>
    <col min="5" max="6" bestFit="true" customWidth="true" style="1" width="16.5"/>
    <col min="7" max="7" bestFit="true" customWidth="true" style="1" width="15.83203125"/>
    <col min="8" max="8" bestFit="true" customWidth="true" style="1" width="11.5"/>
    <col min="9" max="9" bestFit="true" customWidth="true" style="1" width="14.5"/>
    <col min="10" max="10" bestFit="true" customWidth="true" style="1" width="15.0"/>
    <col min="11" max="11" customWidth="true" style="1" width="16.1640625"/>
    <col min="12" max="12" customWidth="true" style="1" width="17.1640625"/>
    <col min="13" max="13" customWidth="true" style="1" width="9.1640625"/>
    <col min="14" max="16384" style="1" width="9.1640625"/>
  </cols>
  <sheetData>
    <row r="1" spans="1:13" ht="25.5" customHeight="1" x14ac:dyDescent="0.15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ht="21" customHeight="1" x14ac:dyDescent="0.1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3" ht="24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3" ht="24.75" customHeight="1" x14ac:dyDescent="0.15">
      <c r="A4" s="2" t="s">
        <v>1</v>
      </c>
      <c r="B4" s="15" t="s">
        <v>39</v>
      </c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3" ht="27.75" customHeight="1" thickBot="1" x14ac:dyDescent="0.2">
      <c r="A5" s="3" t="s">
        <v>2</v>
      </c>
      <c r="B5" s="34" t="n">
        <f ca="1">TODAY()</f>
        <v>46316.0</v>
      </c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30" customHeight="1" x14ac:dyDescent="0.2">
      <c r="A6" s="18" t="s">
        <v>15</v>
      </c>
      <c r="B6" s="19"/>
      <c r="C6" s="21"/>
      <c r="D6" s="16"/>
      <c r="E6" s="16"/>
      <c r="F6" s="16"/>
      <c r="G6" s="16"/>
      <c r="H6" s="16"/>
      <c r="I6" s="16"/>
      <c r="J6" s="16"/>
      <c r="K6" s="16"/>
      <c r="L6" s="16"/>
    </row>
    <row r="7" spans="1:13" ht="27" customHeight="1" x14ac:dyDescent="0.15">
      <c r="A7" s="4" t="s">
        <v>40</v>
      </c>
      <c r="B7" s="6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3" s="5" customFormat="1" ht="28.25" customHeight="1" thickBot="1" x14ac:dyDescent="0.25">
      <c r="A8" s="25" t="s">
        <v>6</v>
      </c>
      <c r="B8" s="25" t="s">
        <v>7</v>
      </c>
      <c r="C8" s="25" t="s">
        <v>8</v>
      </c>
      <c r="D8" s="25" t="s">
        <v>16</v>
      </c>
      <c r="E8" s="25" t="s">
        <v>17</v>
      </c>
      <c r="F8" s="25" t="s">
        <v>18</v>
      </c>
      <c r="G8" s="25" t="s">
        <v>19</v>
      </c>
      <c r="H8" s="25" t="s">
        <v>20</v>
      </c>
      <c r="I8" s="25" t="s">
        <v>21</v>
      </c>
      <c r="J8" s="25" t="s">
        <v>13</v>
      </c>
      <c r="K8" s="25" t="s">
        <v>22</v>
      </c>
      <c r="L8" s="25" t="s">
        <v>23</v>
      </c>
      <c r="M8" s="25" t="s">
        <v>24</v>
      </c>
    </row>
    <row r="9" spans="1:13" ht="42" customHeight="1" x14ac:dyDescent="0.15">
      <c r="A9" s="31" t="s">
        <v>41</v>
      </c>
      <c r="B9" s="31" t="s">
        <v>42</v>
      </c>
      <c r="C9" s="31" t="s">
        <v>43</v>
      </c>
      <c r="D9" s="33" t="n">
        <v>266.95001220703125</v>
      </c>
      <c r="E9" s="31" t="s">
        <v>45</v>
      </c>
      <c r="F9" s="35" t="n">
        <v>56.1902978086</v>
      </c>
      <c r="G9" s="33" t="n">
        <v>1.0</v>
      </c>
      <c r="H9" s="35" t="n">
        <v>64.1</v>
      </c>
      <c r="I9" s="33" t="n">
        <v>1.0</v>
      </c>
      <c r="J9" s="32" t="n">
        <v>46315.0</v>
      </c>
      <c r="K9" s="35" t="n">
        <v>17111.5</v>
      </c>
      <c r="L9" s="35" t="n">
        <v>2111.5</v>
      </c>
      <c r="M9" s="36" t="n">
        <v>0.15399999618530275</v>
      </c>
    </row>
    <row r="10" ht="42.0" customHeight="true">
      <c r="A10" s="31" t="s">
        <v>50</v>
      </c>
      <c r="B10" s="31" t="s">
        <v>51</v>
      </c>
      <c r="C10" s="31" t="s">
        <v>52</v>
      </c>
      <c r="D10" s="33" t="n">
        <v>1072.1099853515625</v>
      </c>
      <c r="E10" s="31" t="s">
        <v>45</v>
      </c>
      <c r="F10" s="35" t="n">
        <v>13.7088837927</v>
      </c>
      <c r="G10" s="33" t="n">
        <v>1.0</v>
      </c>
      <c r="H10" s="35" t="n">
        <v>13.82</v>
      </c>
      <c r="I10" s="33" t="n">
        <v>1.0</v>
      </c>
      <c r="J10" s="32" t="n">
        <v>46314.0</v>
      </c>
      <c r="K10" s="35" t="n">
        <v>14816.56</v>
      </c>
      <c r="L10" s="35" t="n">
        <v>128.98</v>
      </c>
      <c r="M10" s="37" t="n">
        <v>0.010399999618530274</v>
      </c>
    </row>
    <row r="11" ht="42.0" customHeight="true">
      <c r="A11" s="31" t="s">
        <v>50</v>
      </c>
      <c r="B11" s="31" t="s">
        <v>57</v>
      </c>
      <c r="C11" s="31" t="s">
        <v>52</v>
      </c>
      <c r="D11" s="33" t="n">
        <v>443.0799865722656</v>
      </c>
      <c r="E11" s="31" t="s">
        <v>45</v>
      </c>
      <c r="F11" s="35" t="n">
        <v>33.85393157</v>
      </c>
      <c r="G11" s="33" t="n">
        <v>1.0</v>
      </c>
      <c r="H11" s="35" t="n">
        <v>37.74</v>
      </c>
      <c r="I11" s="33" t="n">
        <v>1.0</v>
      </c>
      <c r="J11" s="32" t="n">
        <v>46314.0</v>
      </c>
      <c r="K11" s="35" t="n">
        <v>16721.84</v>
      </c>
      <c r="L11" s="35" t="n">
        <v>1721.84</v>
      </c>
      <c r="M11" s="38" t="n">
        <v>0.14640000343322754</v>
      </c>
    </row>
    <row r="12" ht="42.0" customHeight="true">
      <c r="A12" s="31" t="s">
        <v>62</v>
      </c>
      <c r="B12" s="31" t="s">
        <v>63</v>
      </c>
      <c r="C12" s="31" t="s">
        <v>64</v>
      </c>
      <c r="D12" s="33" t="n">
        <v>33.404998779296875</v>
      </c>
      <c r="E12" s="31" t="s">
        <v>45</v>
      </c>
      <c r="F12" s="35" t="n">
        <v>224.5172878312</v>
      </c>
      <c r="G12" s="33" t="n">
        <v>1.0426026582717896</v>
      </c>
      <c r="H12" s="39" t="n">
        <v>210.04</v>
      </c>
      <c r="I12" s="33" t="n">
        <v>1.1217000484466553</v>
      </c>
      <c r="J12" s="32" t="n">
        <v>46314.0</v>
      </c>
      <c r="K12" s="35" t="n">
        <v>6255.14</v>
      </c>
      <c r="L12" s="35" t="n">
        <v>-1244.86</v>
      </c>
      <c r="M12" s="40" t="n">
        <v>-0.16600000381469726</v>
      </c>
    </row>
    <row r="13" ht="42.0" customHeight="true">
      <c r="A13" s="31" t="s">
        <v>71</v>
      </c>
      <c r="B13" s="31" t="s">
        <v>72</v>
      </c>
      <c r="C13" s="31" t="s">
        <v>73</v>
      </c>
      <c r="D13" s="33" t="n">
        <v>6.925000190734863</v>
      </c>
      <c r="E13" s="31" t="s">
        <v>45</v>
      </c>
      <c r="F13" s="35" t="n">
        <v>3610.1010830325</v>
      </c>
      <c r="G13" s="33" t="n">
        <v>1.0</v>
      </c>
      <c r="H13" s="35" t="n">
        <v>3916.8</v>
      </c>
      <c r="I13" s="33" t="n">
        <v>1.0</v>
      </c>
      <c r="J13" s="32" t="n">
        <v>46314.0</v>
      </c>
      <c r="K13" s="35" t="n">
        <v>27123.84</v>
      </c>
      <c r="L13" s="35" t="n">
        <v>2123.89</v>
      </c>
      <c r="M13" s="41" t="n">
        <v>0.16719999313354492</v>
      </c>
    </row>
    <row r="14" ht="42.0" customHeight="true">
      <c r="A14" s="31" t="s">
        <v>78</v>
      </c>
      <c r="B14" s="31" t="s">
        <v>79</v>
      </c>
      <c r="C14" s="31" t="s">
        <v>80</v>
      </c>
      <c r="D14" s="33" t="n">
        <v>646.22998046875</v>
      </c>
      <c r="E14" s="31" t="s">
        <v>45</v>
      </c>
      <c r="F14" s="35" t="n">
        <v>24.142627238</v>
      </c>
      <c r="G14" s="33" t="n">
        <v>1.0</v>
      </c>
      <c r="H14" s="35" t="n">
        <v>28.47</v>
      </c>
      <c r="I14" s="33" t="n">
        <v>1.0</v>
      </c>
      <c r="J14" s="32" t="n">
        <v>46315.0</v>
      </c>
      <c r="K14" s="35" t="n">
        <v>18398.17</v>
      </c>
      <c r="L14" s="35" t="n">
        <v>2796.48</v>
      </c>
      <c r="M14" s="42" t="n">
        <v>0.32540000915527345</v>
      </c>
    </row>
    <row r="15" ht="42.0" customHeight="true">
      <c r="A15" s="43" t="s">
        <v>85</v>
      </c>
      <c r="B15" s="31"/>
      <c r="C15" s="31"/>
      <c r="D15" s="33"/>
      <c r="E15" s="31"/>
      <c r="F15" s="35"/>
      <c r="G15" s="33"/>
      <c r="H15" s="35"/>
      <c r="I15" s="33"/>
      <c r="J15" s="32"/>
      <c r="K15" s="35" t="n">
        <v>100427.05</v>
      </c>
      <c r="L15" s="35"/>
      <c r="M15" s="42"/>
    </row>
    <row r="16" ht="42.0" customHeight="true">
      <c r="A16" s="44" t="s">
        <v>86</v>
      </c>
      <c r="B16" s="31"/>
      <c r="C16" s="31"/>
      <c r="D16" s="33"/>
      <c r="E16" s="31"/>
      <c r="F16" s="35"/>
      <c r="G16" s="33"/>
      <c r="H16" s="35"/>
      <c r="I16" s="33"/>
      <c r="J16" s="32"/>
      <c r="K16" s="35" t="n">
        <v>100427.05</v>
      </c>
      <c r="L16" s="35"/>
      <c r="M16" s="42"/>
    </row>
  </sheetData>
  <autoFilter ref="A8:M16"/>
  <mergeCells count="5">
    <mergeCell ref="B4:L4"/>
    <mergeCell ref="B5:L5"/>
    <mergeCell ref="A1:L3"/>
    <mergeCell ref="C6:L6"/>
    <mergeCell ref="A6:B6"/>
  </mergeCells>
  <pageMargins left="0.23622047244094491" right="0.23622047244094491" top="0.74803149606299213" bottom="0.74803149606299213" header="0.31496062992125978" footer="0.31496062992125978"/>
  <pageSetup paperSize="9" orientation="landscape" horizontalDpi="1200" verticalDpi="1200"/>
  <headerFooter>
    <oddFooter>&amp;R&amp;"Arial,Normale"&amp;10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zoomScaleNormal="100" workbookViewId="0" tabSelected="false">
      <selection activeCell="A1" sqref="A1"/>
    </sheetView>
  </sheetViews>
  <sheetFormatPr baseColWidth="10" defaultColWidth="9.1640625" defaultRowHeight="14" x14ac:dyDescent="0.15"/>
  <cols>
    <col min="2" max="2" customWidth="true" style="1" width="65.83203125"/>
    <col min="1" max="1" customWidth="true" style="1" width="47.0"/>
    <col min="3" max="3" bestFit="true" customWidth="true" style="1" width="12.83203125"/>
    <col min="4" max="4" customWidth="true" style="1" width="12.83203125"/>
    <col min="5" max="5" customWidth="true" style="1" width="16.33203125"/>
    <col min="6" max="6" customWidth="true" style="1" width="21.83203125"/>
    <col min="7" max="7" bestFit="true" customWidth="true" style="1" width="16.5"/>
    <col min="8" max="8" bestFit="true" customWidth="true" style="1" width="15.83203125"/>
    <col min="9" max="9" bestFit="true" customWidth="true" style="1" width="14.5"/>
    <col min="10" max="10" bestFit="true" customWidth="true" style="1" width="15.0"/>
    <col min="11" max="11" customWidth="true" style="1" width="15.0"/>
    <col min="12" max="12" bestFit="true" customWidth="true" style="1" width="11.5"/>
    <col min="13" max="13" customWidth="true" style="1" width="9.1640625"/>
    <col min="14" max="16384" style="1" width="9.1640625"/>
  </cols>
  <sheetData>
    <row r="1" spans="1:12" ht="25.5" customHeight="1" x14ac:dyDescent="0.15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1" customHeight="1" x14ac:dyDescent="0.1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4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24.75" customHeight="1" x14ac:dyDescent="0.15">
      <c r="A4" s="2" t="s">
        <v>1</v>
      </c>
      <c r="B4" s="15" t="s">
        <v>39</v>
      </c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27.75" customHeight="1" thickBot="1" x14ac:dyDescent="0.25">
      <c r="A5" s="3" t="s">
        <v>2</v>
      </c>
      <c r="B5" s="45" t="n">
        <f ca="1">TODAY()</f>
        <v>46316.0</v>
      </c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ht="30" customHeight="1" x14ac:dyDescent="0.2">
      <c r="A6" s="18" t="s">
        <v>3</v>
      </c>
      <c r="B6" s="19"/>
      <c r="C6" s="22"/>
      <c r="D6" s="19"/>
      <c r="E6" s="19"/>
      <c r="F6" s="19"/>
      <c r="G6" s="19"/>
      <c r="H6" s="19"/>
      <c r="I6" s="19"/>
      <c r="J6" s="19"/>
      <c r="K6" s="23" t="s">
        <v>4</v>
      </c>
      <c r="L6" s="19"/>
    </row>
    <row r="7" spans="1:12" ht="27" customHeight="1" x14ac:dyDescent="0.15">
      <c r="A7" s="4" t="s">
        <v>87</v>
      </c>
      <c r="B7" s="6"/>
      <c r="C7" s="16"/>
      <c r="D7" s="16"/>
      <c r="E7" s="16"/>
      <c r="F7" s="16"/>
      <c r="G7" s="16"/>
      <c r="H7" s="33" t="s">
        <v>110</v>
      </c>
      <c r="I7" s="16"/>
      <c r="J7" s="16"/>
      <c r="K7" s="4"/>
      <c r="L7" s="4"/>
    </row>
    <row r="8" spans="1:12" s="5" customFormat="1" ht="28.25" customHeight="1" thickBot="1" x14ac:dyDescent="0.25">
      <c r="A8" s="25" t="s">
        <v>6</v>
      </c>
      <c r="B8" s="25" t="s">
        <v>7</v>
      </c>
      <c r="C8" s="25" t="s">
        <v>8</v>
      </c>
      <c r="D8" s="25" t="s">
        <v>9</v>
      </c>
      <c r="E8" s="25" t="s">
        <v>10</v>
      </c>
      <c r="F8" s="25" t="s">
        <v>11</v>
      </c>
      <c r="G8" s="25" t="s">
        <v>12</v>
      </c>
      <c r="H8" s="25" t="s">
        <v>13</v>
      </c>
      <c r="I8" s="25" t="s">
        <v>14</v>
      </c>
    </row>
    <row r="9" spans="1:12" ht="42" customHeight="1" x14ac:dyDescent="0.15">
      <c r="A9" s="31" t="s">
        <v>88</v>
      </c>
      <c r="B9" s="31" t="s">
        <v>89</v>
      </c>
      <c r="C9" s="31" t="s">
        <v>90</v>
      </c>
      <c r="D9" s="35" t="n">
        <v>10100.0</v>
      </c>
      <c r="E9" s="35" t="n">
        <v>10100.0</v>
      </c>
      <c r="F9" s="33" t="s">
        <v>91</v>
      </c>
      <c r="G9" s="35" t="n">
        <v>8134.0</v>
      </c>
      <c r="H9" s="32" t="n">
        <v>46203.0</v>
      </c>
      <c r="I9" s="35" t="n">
        <v>-1860.0</v>
      </c>
    </row>
    <row r="10" ht="42.0" customHeight="true">
      <c r="A10" s="31" t="s">
        <v>92</v>
      </c>
      <c r="B10" s="31" t="s">
        <v>93</v>
      </c>
      <c r="C10" s="31" t="s">
        <v>94</v>
      </c>
      <c r="D10" s="35" t="n">
        <v>10100.0</v>
      </c>
      <c r="E10" s="35" t="n">
        <v>10100.0</v>
      </c>
      <c r="F10" s="33" t="s">
        <v>91</v>
      </c>
      <c r="G10" s="35" t="n">
        <v>7188.0</v>
      </c>
      <c r="H10" s="32" t="n">
        <v>46044.0</v>
      </c>
      <c r="I10" s="35" t="n">
        <v>-3202.0</v>
      </c>
    </row>
    <row r="11" ht="42.0" customHeight="true">
      <c r="A11" s="31" t="s">
        <v>95</v>
      </c>
      <c r="B11" s="31" t="s">
        <v>96</v>
      </c>
      <c r="C11" s="31" t="s">
        <v>97</v>
      </c>
      <c r="D11" s="35" t="n">
        <v>10100.0</v>
      </c>
      <c r="E11" s="35" t="n">
        <v>10100.0</v>
      </c>
      <c r="F11" s="33" t="s">
        <v>91</v>
      </c>
      <c r="G11" s="35" t="n">
        <v>10070.0</v>
      </c>
      <c r="H11" s="32" t="n">
        <v>46203.0</v>
      </c>
      <c r="I11" s="33" t="s">
        <v>91</v>
      </c>
    </row>
    <row r="12" ht="42.0" customHeight="true">
      <c r="A12" s="31" t="s">
        <v>98</v>
      </c>
      <c r="B12" s="31" t="s">
        <v>99</v>
      </c>
      <c r="C12" s="31" t="s">
        <v>100</v>
      </c>
      <c r="D12" s="35" t="n">
        <v>30000.0</v>
      </c>
      <c r="E12" s="35" t="n">
        <v>30000.0</v>
      </c>
      <c r="F12" s="33" t="s">
        <v>91</v>
      </c>
      <c r="G12" s="35" t="n">
        <v>15251.99</v>
      </c>
      <c r="H12" s="32" t="n">
        <v>46300.0</v>
      </c>
      <c r="I12" s="35" t="n">
        <v>-20310.0</v>
      </c>
    </row>
    <row r="13" ht="42.0" customHeight="true">
      <c r="A13" s="46" t="s">
        <v>101</v>
      </c>
      <c r="B13" s="31"/>
      <c r="C13" s="31"/>
      <c r="D13" s="35"/>
      <c r="E13" s="35"/>
      <c r="F13" s="33"/>
      <c r="G13" s="35" t="n">
        <v>40643.99</v>
      </c>
      <c r="H13" s="32"/>
      <c r="I13" s="35"/>
    </row>
    <row r="14" ht="27.0" customHeight="true">
      <c r="A14" s="4" t="s">
        <v>102</v>
      </c>
      <c r="B14" s="6"/>
      <c r="C14" s="16"/>
      <c r="D14" s="16"/>
      <c r="E14" s="16"/>
      <c r="F14" s="16"/>
      <c r="G14" s="16"/>
      <c r="H14" s="16"/>
      <c r="I14" s="16"/>
      <c r="J14" s="16"/>
      <c r="K14" s="4"/>
      <c r="L14" s="4"/>
    </row>
    <row r="15" ht="28.25" customHeight="true">
      <c r="A15" t="s" s="25">
        <v>6</v>
      </c>
      <c r="B15" t="s" s="25">
        <v>7</v>
      </c>
      <c r="C15" t="s" s="25">
        <v>8</v>
      </c>
      <c r="D15" t="s" s="25">
        <v>9</v>
      </c>
      <c r="E15" t="s" s="25">
        <v>10</v>
      </c>
      <c r="F15" t="s" s="25">
        <v>11</v>
      </c>
      <c r="G15" t="s" s="25">
        <v>12</v>
      </c>
      <c r="H15" t="s" s="25">
        <v>13</v>
      </c>
      <c r="I15" t="s" s="25">
        <v>14</v>
      </c>
    </row>
    <row r="16" ht="42.0" customHeight="true">
      <c r="A16" s="31" t="s">
        <v>103</v>
      </c>
      <c r="B16" s="31" t="s">
        <v>104</v>
      </c>
      <c r="C16" s="31" t="s">
        <v>105</v>
      </c>
      <c r="D16" s="35" t="n">
        <v>20200.0</v>
      </c>
      <c r="E16" s="35" t="n">
        <v>20200.0</v>
      </c>
      <c r="F16" s="33" t="s">
        <v>91</v>
      </c>
      <c r="G16" s="35" t="n">
        <v>16812.0</v>
      </c>
      <c r="H16" s="32" t="n">
        <v>46203.0</v>
      </c>
      <c r="I16" s="35" t="n">
        <v>-3600.0</v>
      </c>
    </row>
    <row r="17" ht="42.0" customHeight="true">
      <c r="A17" s="31" t="s">
        <v>106</v>
      </c>
      <c r="B17" s="31" t="s">
        <v>107</v>
      </c>
      <c r="C17" s="31" t="s">
        <v>108</v>
      </c>
      <c r="D17" s="35" t="n">
        <v>10100.0</v>
      </c>
      <c r="E17" s="35" t="n">
        <v>10100.0</v>
      </c>
      <c r="F17" s="33" t="s">
        <v>91</v>
      </c>
      <c r="G17" s="35" t="n">
        <v>9966.0</v>
      </c>
      <c r="H17" s="32" t="n">
        <v>46022.0</v>
      </c>
      <c r="I17" s="33" t="s">
        <v>91</v>
      </c>
    </row>
    <row r="18" ht="42.0" customHeight="true">
      <c r="A18" s="47" t="s">
        <v>109</v>
      </c>
      <c r="B18" s="31"/>
      <c r="C18" s="31"/>
      <c r="D18" s="35"/>
      <c r="E18" s="35"/>
      <c r="F18" s="33"/>
      <c r="G18" s="35" t="n">
        <v>26778.0</v>
      </c>
      <c r="H18" s="32"/>
      <c r="I18" s="33"/>
    </row>
    <row r="19" ht="42.0" customHeight="true">
      <c r="A19" s="48" t="s">
        <v>86</v>
      </c>
      <c r="B19" s="31"/>
      <c r="C19" s="31"/>
      <c r="D19" s="35"/>
      <c r="E19" s="35"/>
      <c r="F19" s="33"/>
      <c r="G19" s="35" t="n">
        <v>67421.98999999999</v>
      </c>
      <c r="H19" s="32"/>
      <c r="I19" s="33"/>
    </row>
  </sheetData>
  <autoFilter ref="A8:I19"/>
  <mergeCells count="6">
    <mergeCell ref="B4:L4"/>
    <mergeCell ref="B5:L5"/>
    <mergeCell ref="C6:J7"/>
    <mergeCell ref="A1:L3"/>
    <mergeCell ref="K6:L6"/>
    <mergeCell ref="A6:B6"/>
  </mergeCells>
  <pageMargins left="0.23622047244094491" right="0.23622047244094491" top="0.74803149606299213" bottom="0.74803149606299213" header="0.31496062992125978" footer="0.31496062992125978"/>
  <pageSetup paperSize="9" orientation="landscape" horizontalDpi="1200" verticalDpi="1200"/>
  <headerFooter>
    <oddFooter>&amp;R&amp;"Arial,Normale"&amp;10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zoomScaleNormal="100" workbookViewId="0" tabSelected="false">
      <selection activeCell="A1" sqref="A1"/>
    </sheetView>
  </sheetViews>
  <sheetFormatPr baseColWidth="10" defaultColWidth="9.1640625" defaultRowHeight="14" x14ac:dyDescent="0.15"/>
  <cols>
    <col min="1" max="1" customWidth="true" style="1" width="53.0"/>
    <col min="2" max="2" bestFit="true" customWidth="true" style="1" width="13.1640625"/>
    <col min="3" max="3" bestFit="true" customWidth="true" style="1" width="12.83203125"/>
    <col min="4" max="4" bestFit="true" customWidth="true" style="1" width="10.5"/>
    <col min="5" max="5" bestFit="true" customWidth="true" style="1" width="15.83203125"/>
    <col min="6" max="6" bestFit="true" customWidth="true" style="1" width="11.5"/>
    <col min="7" max="7" bestFit="true" customWidth="true" style="1" width="20.0"/>
    <col min="8" max="8" bestFit="true" customWidth="true" style="1" width="16.0"/>
    <col min="9" max="9" bestFit="true" customWidth="true" style="1" width="15.5"/>
    <col min="10" max="10" customWidth="true" style="1" width="15.1640625"/>
    <col min="11" max="11" customWidth="true" style="1" width="9.1640625"/>
    <col min="12" max="16384" style="1" width="9.1640625"/>
  </cols>
  <sheetData>
    <row r="1" spans="1:10" ht="25.5" customHeight="1" x14ac:dyDescent="0.15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1" customHeight="1" x14ac:dyDescent="0.1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ht="24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24.75" customHeight="1" x14ac:dyDescent="0.15">
      <c r="A4" s="2" t="s">
        <v>1</v>
      </c>
      <c r="B4" s="24" t="s">
        <v>39</v>
      </c>
      <c r="C4" s="16"/>
      <c r="D4" s="16"/>
      <c r="E4" s="16"/>
      <c r="F4" s="16"/>
      <c r="G4" s="16"/>
      <c r="H4" s="16"/>
      <c r="I4" s="16"/>
      <c r="J4" s="16"/>
    </row>
    <row r="5" spans="1:10" ht="27.75" customHeight="1" thickBot="1" x14ac:dyDescent="0.2">
      <c r="A5" s="3" t="s">
        <v>2</v>
      </c>
      <c r="B5" s="49" t="n">
        <f ca="1">TODAY()</f>
        <v>46316.0</v>
      </c>
      <c r="C5" s="9"/>
      <c r="D5" s="9"/>
      <c r="E5" s="9"/>
      <c r="F5" s="9"/>
      <c r="G5" s="9"/>
      <c r="H5" s="9"/>
      <c r="I5" s="9"/>
      <c r="J5" s="9"/>
    </row>
    <row r="6" spans="1:10" ht="30" customHeight="1" x14ac:dyDescent="0.2">
      <c r="A6" s="18" t="s">
        <v>31</v>
      </c>
      <c r="B6" s="19"/>
      <c r="C6" s="19"/>
      <c r="D6" s="7"/>
      <c r="E6" s="7"/>
      <c r="F6" s="7"/>
      <c r="G6" s="7"/>
      <c r="H6" s="7"/>
      <c r="I6" s="7"/>
      <c r="J6" s="7"/>
    </row>
    <row r="7" spans="1:10" ht="27" customHeight="1" x14ac:dyDescent="0.15">
      <c r="A7" s="4" t="s">
        <v>111</v>
      </c>
      <c r="B7" s="6"/>
      <c r="C7" s="4"/>
      <c r="D7" s="4"/>
      <c r="E7" s="4"/>
      <c r="F7" s="4"/>
      <c r="G7" s="4"/>
      <c r="H7" s="4"/>
      <c r="I7" s="4"/>
      <c r="J7" s="4"/>
    </row>
    <row r="8" spans="1:10" s="5" customFormat="1" ht="28.25" customHeight="1" thickBot="1" x14ac:dyDescent="0.25">
      <c r="A8" s="25" t="s">
        <v>7</v>
      </c>
      <c r="B8" s="25" t="s">
        <v>8</v>
      </c>
      <c r="C8" s="25" t="s">
        <v>16</v>
      </c>
      <c r="D8" s="25" t="s">
        <v>17</v>
      </c>
      <c r="E8" s="25" t="s">
        <v>20</v>
      </c>
      <c r="F8" s="25" t="s">
        <v>21</v>
      </c>
      <c r="G8" s="25" t="s">
        <v>13</v>
      </c>
      <c r="H8" s="25" t="s">
        <v>22</v>
      </c>
      <c r="I8" s="25" t="s">
        <v>23</v>
      </c>
      <c r="J8" s="25" t="s">
        <v>24</v>
      </c>
    </row>
    <row r="9" spans="1:10" ht="42" customHeight="1" x14ac:dyDescent="0.15">
      <c r="A9" s="31" t="s">
        <v>112</v>
      </c>
      <c r="B9" s="31" t="s">
        <v>113</v>
      </c>
      <c r="C9" s="33" t="n">
        <v>25000.0</v>
      </c>
      <c r="D9" s="31" t="s">
        <v>45</v>
      </c>
      <c r="E9" s="35" t="n">
        <v>94.73435</v>
      </c>
      <c r="F9" s="33" t="n">
        <v>1.0</v>
      </c>
      <c r="G9" s="32" t="n">
        <v>46315.0</v>
      </c>
      <c r="H9" s="35" t="n">
        <v>23683.59</v>
      </c>
      <c r="I9" s="35" t="n">
        <v>-199.44</v>
      </c>
      <c r="J9" s="50" t="n">
        <v>-0.008299999833106995</v>
      </c>
    </row>
    <row r="10" ht="42.0" customHeight="true">
      <c r="A10" s="31" t="s">
        <v>114</v>
      </c>
      <c r="B10" s="31" t="s">
        <v>113</v>
      </c>
      <c r="C10" s="33" t="n">
        <v>15000.0</v>
      </c>
      <c r="D10" s="31" t="s">
        <v>45</v>
      </c>
      <c r="E10" s="35" t="n">
        <v>99.55509</v>
      </c>
      <c r="F10" s="33" t="n">
        <v>1.0</v>
      </c>
      <c r="G10" s="32" t="n">
        <v>46315.0</v>
      </c>
      <c r="H10" s="35" t="n">
        <v>14933.26</v>
      </c>
      <c r="I10" s="35" t="n">
        <v>13.67</v>
      </c>
      <c r="J10" s="51" t="n">
        <v>9.000000357627869E-4</v>
      </c>
    </row>
    <row r="11" ht="42.0" customHeight="true">
      <c r="A11" s="31" t="s">
        <v>115</v>
      </c>
      <c r="B11" s="31" t="s">
        <v>113</v>
      </c>
      <c r="C11" s="33" t="n">
        <v>25000.0</v>
      </c>
      <c r="D11" s="31" t="s">
        <v>45</v>
      </c>
      <c r="E11" s="35" t="n">
        <v>91.1772</v>
      </c>
      <c r="F11" s="33" t="n">
        <v>1.0</v>
      </c>
      <c r="G11" s="32" t="n">
        <v>46315.0</v>
      </c>
      <c r="H11" s="35" t="n">
        <v>22794.3</v>
      </c>
      <c r="I11" s="35" t="n">
        <v>-485.58</v>
      </c>
      <c r="J11" s="52" t="n">
        <v>-0.020899999141693115</v>
      </c>
    </row>
    <row r="12" ht="42.0" customHeight="true">
      <c r="A12" s="31" t="s">
        <v>116</v>
      </c>
      <c r="B12" s="31" t="s">
        <v>113</v>
      </c>
      <c r="C12" s="33" t="n">
        <v>30000.0</v>
      </c>
      <c r="D12" s="31" t="s">
        <v>45</v>
      </c>
      <c r="E12" s="35" t="n">
        <v>75.384</v>
      </c>
      <c r="F12" s="33" t="n">
        <v>1.0</v>
      </c>
      <c r="G12" s="32" t="n">
        <v>46315.0</v>
      </c>
      <c r="H12" s="35" t="n">
        <v>22615.2</v>
      </c>
      <c r="I12" s="35" t="n">
        <v>-666.05</v>
      </c>
      <c r="J12" s="53" t="n">
        <v>-0.05300000190734863</v>
      </c>
    </row>
    <row r="13" ht="42.0" customHeight="true">
      <c r="A13" s="54" t="s">
        <v>117</v>
      </c>
      <c r="B13" s="31"/>
      <c r="C13" s="33"/>
      <c r="D13" s="31"/>
      <c r="E13" s="35"/>
      <c r="F13" s="33"/>
      <c r="G13" s="32"/>
      <c r="H13" s="35" t="n">
        <v>84026.35</v>
      </c>
      <c r="I13" s="35"/>
      <c r="J13" s="53"/>
    </row>
    <row r="14" ht="27.0" customHeight="true">
      <c r="A14" s="4" t="s">
        <v>118</v>
      </c>
      <c r="B14" s="6"/>
      <c r="C14" s="4"/>
      <c r="D14" s="4"/>
      <c r="E14" s="4"/>
      <c r="F14" s="4"/>
      <c r="G14" s="4"/>
      <c r="H14" s="4"/>
      <c r="I14" s="4"/>
      <c r="J14" s="4"/>
    </row>
    <row r="15" ht="28.25" customHeight="true">
      <c r="A15" t="s" s="25">
        <v>7</v>
      </c>
      <c r="B15" t="s" s="25">
        <v>8</v>
      </c>
      <c r="C15" t="s" s="25">
        <v>16</v>
      </c>
      <c r="D15" t="s" s="25">
        <v>17</v>
      </c>
      <c r="E15" t="s" s="25">
        <v>20</v>
      </c>
      <c r="F15" t="s" s="25">
        <v>21</v>
      </c>
      <c r="G15" t="s" s="25">
        <v>13</v>
      </c>
      <c r="H15" t="s" s="25">
        <v>22</v>
      </c>
      <c r="I15" t="s" s="25">
        <v>23</v>
      </c>
      <c r="J15" t="s" s="25">
        <v>24</v>
      </c>
    </row>
    <row r="16" ht="42.0" customHeight="true">
      <c r="A16" s="31" t="s">
        <v>119</v>
      </c>
      <c r="B16" s="31" t="s">
        <v>113</v>
      </c>
      <c r="C16" s="33" t="n">
        <v>60.0</v>
      </c>
      <c r="D16" s="31" t="s">
        <v>45</v>
      </c>
      <c r="E16" s="35" t="n">
        <v>52.63</v>
      </c>
      <c r="F16" s="33" t="n">
        <v>1.0</v>
      </c>
      <c r="G16" s="32" t="n">
        <v>46315.0</v>
      </c>
      <c r="H16" s="35" t="n">
        <v>3157.8</v>
      </c>
      <c r="I16" s="35" t="n">
        <v>71.3</v>
      </c>
      <c r="J16" s="55" t="n">
        <v>0.02309999942779541</v>
      </c>
    </row>
    <row r="17" ht="42.0" customHeight="true">
      <c r="A17" s="31" t="s">
        <v>120</v>
      </c>
      <c r="B17" s="31" t="s">
        <v>113</v>
      </c>
      <c r="C17" s="33" t="n">
        <v>400.0</v>
      </c>
      <c r="D17" s="31" t="s">
        <v>45</v>
      </c>
      <c r="E17" s="35" t="n">
        <v>9.192</v>
      </c>
      <c r="F17" s="33" t="n">
        <v>1.0</v>
      </c>
      <c r="G17" s="32" t="n">
        <v>46315.0</v>
      </c>
      <c r="H17" s="35" t="n">
        <v>3676.8</v>
      </c>
      <c r="I17" s="35" t="n">
        <v>123.72</v>
      </c>
      <c r="J17" s="56" t="n">
        <v>0.03480000019073486</v>
      </c>
    </row>
    <row r="18" ht="42.0" customHeight="true">
      <c r="A18" s="31" t="s">
        <v>121</v>
      </c>
      <c r="B18" s="31" t="s">
        <v>113</v>
      </c>
      <c r="C18" s="33" t="n">
        <v>20.0</v>
      </c>
      <c r="D18" s="31" t="s">
        <v>45</v>
      </c>
      <c r="E18" s="35" t="n">
        <v>150.5</v>
      </c>
      <c r="F18" s="33" t="n">
        <v>1.0</v>
      </c>
      <c r="G18" s="32" t="n">
        <v>46315.0</v>
      </c>
      <c r="H18" s="35" t="n">
        <v>3010.0</v>
      </c>
      <c r="I18" s="35" t="n">
        <v>-572.7</v>
      </c>
      <c r="J18" s="57" t="n">
        <v>-0.15989999771118163</v>
      </c>
    </row>
    <row r="19" ht="42.0" customHeight="true">
      <c r="A19" s="31" t="s">
        <v>122</v>
      </c>
      <c r="B19" s="31" t="s">
        <v>113</v>
      </c>
      <c r="C19" s="33" t="n">
        <v>7.0</v>
      </c>
      <c r="D19" s="31" t="s">
        <v>45</v>
      </c>
      <c r="E19" s="35" t="n">
        <v>386.75</v>
      </c>
      <c r="F19" s="33" t="n">
        <v>1.0</v>
      </c>
      <c r="G19" s="32" t="n">
        <v>46315.0</v>
      </c>
      <c r="H19" s="35" t="n">
        <v>2707.25</v>
      </c>
      <c r="I19" s="35" t="n">
        <v>-711.75</v>
      </c>
      <c r="J19" s="58" t="n">
        <v>-0.20819999694824218</v>
      </c>
    </row>
    <row r="20" ht="42.0" customHeight="true">
      <c r="A20" s="31" t="s">
        <v>123</v>
      </c>
      <c r="B20" s="31" t="s">
        <v>113</v>
      </c>
      <c r="C20" s="33" t="n">
        <v>10.0</v>
      </c>
      <c r="D20" s="31" t="s">
        <v>124</v>
      </c>
      <c r="E20" s="39" t="n">
        <v>406.57</v>
      </c>
      <c r="F20" s="33" t="n">
        <v>1.1245499849319458</v>
      </c>
      <c r="G20" s="32" t="n">
        <v>46315.0</v>
      </c>
      <c r="H20" s="35" t="n">
        <v>3615.4</v>
      </c>
      <c r="I20" s="35" t="n">
        <v>415.65</v>
      </c>
      <c r="J20" s="59" t="n">
        <v>0.12989999771118163</v>
      </c>
    </row>
    <row r="21" ht="42.0" customHeight="true">
      <c r="A21" s="60" t="s">
        <v>125</v>
      </c>
      <c r="B21" s="31"/>
      <c r="C21" s="33"/>
      <c r="D21" s="31"/>
      <c r="E21" s="39"/>
      <c r="F21" s="33"/>
      <c r="G21" s="32"/>
      <c r="H21" s="35" t="n">
        <v>16167.25</v>
      </c>
      <c r="I21" s="35"/>
      <c r="J21" s="59"/>
    </row>
    <row r="22" ht="27.0" customHeight="true">
      <c r="A22" s="4" t="s">
        <v>126</v>
      </c>
      <c r="B22" s="6"/>
      <c r="C22" s="4"/>
      <c r="D22" s="4"/>
      <c r="E22" s="4"/>
      <c r="F22" s="4"/>
      <c r="G22" s="4"/>
      <c r="H22" s="4"/>
      <c r="I22" s="4"/>
      <c r="J22" s="4"/>
    </row>
    <row r="23" ht="28.25" customHeight="true">
      <c r="A23" t="s" s="25">
        <v>7</v>
      </c>
      <c r="B23" t="s" s="25">
        <v>8</v>
      </c>
      <c r="C23" t="s" s="25">
        <v>16</v>
      </c>
      <c r="D23" t="s" s="25">
        <v>17</v>
      </c>
      <c r="E23" t="s" s="25">
        <v>20</v>
      </c>
      <c r="F23" t="s" s="25">
        <v>21</v>
      </c>
      <c r="G23" t="s" s="25">
        <v>13</v>
      </c>
      <c r="H23" t="s" s="25">
        <v>22</v>
      </c>
      <c r="I23" t="s" s="25">
        <v>23</v>
      </c>
      <c r="J23" t="s" s="25">
        <v>24</v>
      </c>
    </row>
    <row r="24" ht="42.0" customHeight="true">
      <c r="A24" s="31" t="s">
        <v>127</v>
      </c>
      <c r="B24" s="31" t="s">
        <v>113</v>
      </c>
      <c r="C24" s="33" t="n">
        <v>100.0</v>
      </c>
      <c r="D24" s="31" t="s">
        <v>45</v>
      </c>
      <c r="E24" s="35" t="n">
        <v>70.62</v>
      </c>
      <c r="F24" s="33" t="n">
        <v>1.0</v>
      </c>
      <c r="G24" s="32" t="n">
        <v>46315.0</v>
      </c>
      <c r="H24" s="35" t="n">
        <v>7062.0</v>
      </c>
      <c r="I24" s="35" t="n">
        <v>-298.34</v>
      </c>
      <c r="J24" s="61" t="n">
        <v>-0.059800000190734864</v>
      </c>
    </row>
    <row r="25" ht="42.0" customHeight="true">
      <c r="A25" s="31" t="s">
        <v>128</v>
      </c>
      <c r="B25" s="31" t="s">
        <v>113</v>
      </c>
      <c r="C25" s="33" t="n">
        <v>20.0</v>
      </c>
      <c r="D25" s="31" t="s">
        <v>45</v>
      </c>
      <c r="E25" s="35" t="n">
        <v>236.2</v>
      </c>
      <c r="F25" s="33" t="n">
        <v>1.0</v>
      </c>
      <c r="G25" s="32" t="n">
        <v>46315.0</v>
      </c>
      <c r="H25" s="35" t="n">
        <v>4724.0</v>
      </c>
      <c r="I25" s="35" t="n">
        <v>71.71</v>
      </c>
      <c r="J25" s="62" t="n">
        <v>0.015399999618530273</v>
      </c>
    </row>
    <row r="26" ht="42.0" customHeight="true">
      <c r="A26" s="31" t="s">
        <v>129</v>
      </c>
      <c r="B26" s="31" t="s">
        <v>113</v>
      </c>
      <c r="C26" s="33" t="n">
        <v>75.0</v>
      </c>
      <c r="D26" s="31" t="s">
        <v>45</v>
      </c>
      <c r="E26" s="35" t="n">
        <v>52.14</v>
      </c>
      <c r="F26" s="33" t="n">
        <v>1.0</v>
      </c>
      <c r="G26" s="32" t="n">
        <v>46315.0</v>
      </c>
      <c r="H26" s="35" t="n">
        <v>3910.5</v>
      </c>
      <c r="I26" s="35" t="n">
        <v>-171.51</v>
      </c>
      <c r="J26" s="63" t="n">
        <v>-0.04199999809265137</v>
      </c>
    </row>
    <row r="27" ht="42.0" customHeight="true">
      <c r="A27" s="31" t="s">
        <v>130</v>
      </c>
      <c r="B27" s="31" t="s">
        <v>113</v>
      </c>
      <c r="C27" s="33" t="n">
        <v>100.0</v>
      </c>
      <c r="D27" s="31" t="s">
        <v>45</v>
      </c>
      <c r="E27" s="35" t="n">
        <v>35.385</v>
      </c>
      <c r="F27" s="33" t="n">
        <v>1.0</v>
      </c>
      <c r="G27" s="32" t="n">
        <v>46315.0</v>
      </c>
      <c r="H27" s="35" t="n">
        <v>3538.5</v>
      </c>
      <c r="I27" s="35" t="n">
        <v>-378.2</v>
      </c>
      <c r="J27" s="64" t="n">
        <v>-0.0965999984741211</v>
      </c>
    </row>
    <row r="28" ht="42.0" customHeight="true">
      <c r="A28" s="31" t="s">
        <v>131</v>
      </c>
      <c r="B28" s="31" t="s">
        <v>113</v>
      </c>
      <c r="C28" s="33" t="n">
        <v>100.0</v>
      </c>
      <c r="D28" s="31" t="s">
        <v>45</v>
      </c>
      <c r="E28" s="35" t="n">
        <v>119.48</v>
      </c>
      <c r="F28" s="33" t="n">
        <v>1.0</v>
      </c>
      <c r="G28" s="32" t="n">
        <v>46315.0</v>
      </c>
      <c r="H28" s="35" t="n">
        <v>11948.0</v>
      </c>
      <c r="I28" s="35" t="n">
        <v>380.67</v>
      </c>
      <c r="J28" s="65" t="n">
        <v>0.043499999046325684</v>
      </c>
    </row>
    <row r="29" ht="42.0" customHeight="true">
      <c r="A29" s="31" t="s">
        <v>132</v>
      </c>
      <c r="B29" s="31" t="s">
        <v>113</v>
      </c>
      <c r="C29" s="33" t="n">
        <v>200.0</v>
      </c>
      <c r="D29" s="31" t="s">
        <v>45</v>
      </c>
      <c r="E29" s="35" t="n">
        <v>19.03</v>
      </c>
      <c r="F29" s="33" t="n">
        <v>1.0</v>
      </c>
      <c r="G29" s="32" t="n">
        <v>46315.0</v>
      </c>
      <c r="H29" s="35" t="n">
        <v>3806.0</v>
      </c>
      <c r="I29" s="35" t="n">
        <v>-1154.66</v>
      </c>
      <c r="J29" s="66" t="n">
        <v>-0.23280000686645508</v>
      </c>
    </row>
    <row r="30" ht="42.0" customHeight="true">
      <c r="A30" s="31" t="s">
        <v>133</v>
      </c>
      <c r="B30" s="31" t="s">
        <v>113</v>
      </c>
      <c r="C30" s="33" t="n">
        <v>350.0</v>
      </c>
      <c r="D30" s="31" t="s">
        <v>45</v>
      </c>
      <c r="E30" s="35" t="n">
        <v>114.72</v>
      </c>
      <c r="F30" s="33" t="n">
        <v>1.0</v>
      </c>
      <c r="G30" s="32" t="n">
        <v>46315.0</v>
      </c>
      <c r="H30" s="35" t="n">
        <v>40152.0</v>
      </c>
      <c r="I30" s="35" t="n">
        <v>434.01</v>
      </c>
      <c r="J30" s="67" t="n">
        <v>0.017300000190734865</v>
      </c>
    </row>
    <row r="31" ht="42.0" customHeight="true">
      <c r="A31" s="31" t="s">
        <v>134</v>
      </c>
      <c r="B31" s="31" t="s">
        <v>113</v>
      </c>
      <c r="C31" s="33" t="n">
        <v>150.0</v>
      </c>
      <c r="D31" s="31" t="s">
        <v>45</v>
      </c>
      <c r="E31" s="35" t="n">
        <v>18.22</v>
      </c>
      <c r="F31" s="33" t="n">
        <v>1.0</v>
      </c>
      <c r="G31" s="32" t="n">
        <v>46315.0</v>
      </c>
      <c r="H31" s="35" t="n">
        <v>2733.0</v>
      </c>
      <c r="I31" s="35" t="n">
        <v>-141.1</v>
      </c>
      <c r="J31" s="68" t="n">
        <v>-0.049099998474121095</v>
      </c>
    </row>
    <row r="32" ht="42.0" customHeight="true">
      <c r="A32" s="31" t="s">
        <v>135</v>
      </c>
      <c r="B32" s="31" t="s">
        <v>113</v>
      </c>
      <c r="C32" s="33" t="n">
        <v>300.0</v>
      </c>
      <c r="D32" s="31" t="s">
        <v>45</v>
      </c>
      <c r="E32" s="35" t="n">
        <v>10.082</v>
      </c>
      <c r="F32" s="33" t="n">
        <v>1.0</v>
      </c>
      <c r="G32" s="32" t="n">
        <v>46315.0</v>
      </c>
      <c r="H32" s="35" t="n">
        <v>3024.6</v>
      </c>
      <c r="I32" s="35" t="n">
        <v>61.1</v>
      </c>
      <c r="J32" s="69" t="n">
        <v>0.02059999942779541</v>
      </c>
    </row>
    <row r="33" ht="42.0" customHeight="true">
      <c r="A33" s="31" t="s">
        <v>136</v>
      </c>
      <c r="B33" s="31" t="s">
        <v>113</v>
      </c>
      <c r="C33" s="33" t="n">
        <v>300.0</v>
      </c>
      <c r="D33" s="31" t="s">
        <v>45</v>
      </c>
      <c r="E33" s="35" t="n">
        <v>21.495</v>
      </c>
      <c r="F33" s="33" t="n">
        <v>1.0</v>
      </c>
      <c r="G33" s="32" t="n">
        <v>46315.0</v>
      </c>
      <c r="H33" s="35" t="n">
        <v>6448.5</v>
      </c>
      <c r="I33" s="35" t="n">
        <v>995.09</v>
      </c>
      <c r="J33" s="70" t="n">
        <v>0.1825</v>
      </c>
    </row>
    <row r="34" ht="42.0" customHeight="true">
      <c r="A34" s="31" t="s">
        <v>137</v>
      </c>
      <c r="B34" s="31" t="s">
        <v>113</v>
      </c>
      <c r="C34" s="33" t="n">
        <v>300.0</v>
      </c>
      <c r="D34" s="31" t="s">
        <v>45</v>
      </c>
      <c r="E34" s="35" t="n">
        <v>8.782</v>
      </c>
      <c r="F34" s="33" t="n">
        <v>1.0</v>
      </c>
      <c r="G34" s="32" t="n">
        <v>46315.0</v>
      </c>
      <c r="H34" s="35" t="n">
        <v>2634.6</v>
      </c>
      <c r="I34" s="35" t="n">
        <v>-68.2</v>
      </c>
      <c r="J34" s="71" t="n">
        <v>-0.025199999809265138</v>
      </c>
    </row>
    <row r="35" ht="42.0" customHeight="true">
      <c r="A35" s="31" t="s">
        <v>138</v>
      </c>
      <c r="B35" s="31" t="s">
        <v>113</v>
      </c>
      <c r="C35" s="33" t="n">
        <v>250.0</v>
      </c>
      <c r="D35" s="31" t="s">
        <v>45</v>
      </c>
      <c r="E35" s="35" t="n">
        <v>27.22</v>
      </c>
      <c r="F35" s="33" t="n">
        <v>1.0</v>
      </c>
      <c r="G35" s="32" t="n">
        <v>46315.0</v>
      </c>
      <c r="H35" s="35" t="n">
        <v>6805.0</v>
      </c>
      <c r="I35" s="35" t="n">
        <v>-1072.7</v>
      </c>
      <c r="J35" s="72" t="n">
        <v>-0.1361999988555908</v>
      </c>
    </row>
    <row r="36" ht="42.0" customHeight="true">
      <c r="A36" s="31" t="s">
        <v>139</v>
      </c>
      <c r="B36" s="31" t="s">
        <v>113</v>
      </c>
      <c r="C36" s="33" t="n">
        <v>400.0</v>
      </c>
      <c r="D36" s="31" t="s">
        <v>45</v>
      </c>
      <c r="E36" s="35" t="n">
        <v>29.97</v>
      </c>
      <c r="F36" s="33" t="n">
        <v>1.0</v>
      </c>
      <c r="G36" s="32" t="n">
        <v>46315.0</v>
      </c>
      <c r="H36" s="35" t="n">
        <v>11988.0</v>
      </c>
      <c r="I36" s="35" t="n">
        <v>1181.66</v>
      </c>
      <c r="J36" s="73" t="n">
        <v>0.12420000076293945</v>
      </c>
    </row>
    <row r="37" ht="42.0" customHeight="true">
      <c r="A37" s="74" t="s">
        <v>140</v>
      </c>
      <c r="B37" s="31"/>
      <c r="C37" s="33"/>
      <c r="D37" s="31"/>
      <c r="E37" s="35"/>
      <c r="F37" s="33"/>
      <c r="G37" s="32"/>
      <c r="H37" s="35" t="n">
        <v>108774.7</v>
      </c>
      <c r="I37" s="35"/>
      <c r="J37" s="73"/>
    </row>
    <row r="38" ht="42.0" customHeight="true">
      <c r="A38" s="75" t="s">
        <v>86</v>
      </c>
      <c r="B38" s="31"/>
      <c r="C38" s="33"/>
      <c r="D38" s="31"/>
      <c r="E38" s="35"/>
      <c r="F38" s="33"/>
      <c r="G38" s="32"/>
      <c r="H38" s="35" t="n">
        <v>208968.3</v>
      </c>
      <c r="I38" s="35"/>
      <c r="J38" s="73"/>
    </row>
  </sheetData>
  <autoFilter ref="A8:J38"/>
  <mergeCells count="3">
    <mergeCell ref="A6:C6"/>
    <mergeCell ref="B4:J4"/>
    <mergeCell ref="A1:J3"/>
  </mergeCells>
  <pageMargins left="0.23622047244094491" right="0.23622047244094491" top="0.74803149606299213" bottom="0.74803149606299213" header="0.31496062992125978" footer="0.31496062992125978"/>
  <pageSetup paperSize="9" orientation="landscape" horizontalDpi="1200" verticalDpi="1200"/>
  <headerFooter>
    <oddFooter>&amp;R&amp;"Arial,Normale"&amp;10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tabSelected="false" zoomScaleNormal="100" workbookViewId="0">
      <selection activeCell="A1" sqref="A1"/>
    </sheetView>
  </sheetViews>
  <sheetFormatPr baseColWidth="10" defaultColWidth="9.1640625" defaultRowHeight="14" x14ac:dyDescent="0.15"/>
  <cols>
    <col min="1" max="1" customWidth="true" style="1" width="22.0"/>
    <col min="2" max="2" bestFit="true" customWidth="true" style="1" width="13.1640625"/>
    <col min="3" max="3" bestFit="true" customWidth="true" style="1" width="13.0"/>
    <col min="4" max="4" bestFit="true" customWidth="true" style="1" width="14.1640625"/>
    <col min="5" max="5" bestFit="true" customWidth="true" style="1" width="15.83203125"/>
    <col min="6" max="6" bestFit="true" customWidth="true" style="1" width="11.5"/>
    <col min="7" max="7" bestFit="true" customWidth="true" style="1" width="20.0"/>
    <col min="8" max="8" bestFit="true" customWidth="true" style="1" width="16.0"/>
    <col min="9" max="9" customWidth="true" style="1" width="9.1640625"/>
    <col min="10" max="16384" style="1" width="9.1640625"/>
  </cols>
  <sheetData>
    <row r="1" spans="1:8" ht="25.5" customHeight="1" x14ac:dyDescent="0.15">
      <c r="A1" s="17" t="s">
        <v>0</v>
      </c>
      <c r="B1" s="16"/>
      <c r="C1" s="16"/>
      <c r="D1" s="16"/>
      <c r="E1" s="16"/>
      <c r="F1" s="16"/>
      <c r="G1" s="16"/>
      <c r="H1" s="16"/>
    </row>
    <row r="2" spans="1:8" ht="21" customHeight="1" x14ac:dyDescent="0.15">
      <c r="A2" s="16"/>
      <c r="B2" s="16"/>
      <c r="C2" s="16"/>
      <c r="D2" s="16"/>
      <c r="E2" s="16"/>
      <c r="F2" s="16"/>
      <c r="G2" s="16"/>
      <c r="H2" s="16"/>
    </row>
    <row r="3" spans="1:8" ht="24.75" customHeight="1" x14ac:dyDescent="0.15">
      <c r="A3" s="8"/>
      <c r="B3" s="8"/>
      <c r="C3" s="8"/>
      <c r="D3" s="8"/>
      <c r="E3" s="8"/>
      <c r="F3" s="8"/>
      <c r="G3" s="8"/>
      <c r="H3" s="8"/>
    </row>
    <row r="4" spans="1:8" ht="24.75" customHeight="1" x14ac:dyDescent="0.15">
      <c r="A4" s="2" t="s">
        <v>1</v>
      </c>
      <c r="B4" s="10" t="s">
        <v>39</v>
      </c>
      <c r="C4" s="10"/>
      <c r="D4" s="10"/>
      <c r="E4" s="10"/>
      <c r="F4" s="10"/>
      <c r="G4" s="10"/>
      <c r="H4" s="10"/>
    </row>
    <row r="5" spans="1:8" ht="27.75" customHeight="1" thickBot="1" x14ac:dyDescent="0.2">
      <c r="A5" s="3" t="s">
        <v>2</v>
      </c>
      <c r="B5" s="76" t="n">
        <f ca="1">TODAY()</f>
        <v>46316.0</v>
      </c>
      <c r="C5" s="9"/>
      <c r="D5" s="9"/>
      <c r="E5" s="9"/>
      <c r="F5" s="9"/>
      <c r="G5" s="9"/>
      <c r="H5" s="9"/>
    </row>
    <row r="6" spans="1:8" ht="30" customHeight="1" x14ac:dyDescent="0.2">
      <c r="A6" s="18" t="s">
        <v>32</v>
      </c>
      <c r="B6" s="19"/>
      <c r="C6" s="19"/>
      <c r="D6" s="7"/>
      <c r="E6" s="7"/>
      <c r="F6" s="7"/>
      <c r="G6" s="7"/>
      <c r="H6" s="7"/>
    </row>
    <row r="7" spans="1:8" ht="27" customHeight="1" x14ac:dyDescent="0.15">
      <c r="A7" s="4" t="s">
        <v>141</v>
      </c>
      <c r="B7" s="11"/>
      <c r="C7" s="11"/>
      <c r="D7" s="4"/>
      <c r="E7" s="4"/>
      <c r="F7" s="4"/>
      <c r="G7" s="4"/>
      <c r="H7" s="4"/>
    </row>
    <row r="8" spans="1:8" s="5" customFormat="1" ht="28.25" customHeight="1" thickBot="1" x14ac:dyDescent="0.25">
      <c r="A8" s="25" t="s">
        <v>7</v>
      </c>
      <c r="B8" s="25" t="s">
        <v>8</v>
      </c>
      <c r="C8" s="25" t="s">
        <v>33</v>
      </c>
      <c r="D8" s="25" t="s">
        <v>34</v>
      </c>
      <c r="E8" s="25" t="s">
        <v>35</v>
      </c>
      <c r="F8" s="25" t="s">
        <v>36</v>
      </c>
      <c r="G8" s="25" t="s">
        <v>37</v>
      </c>
      <c r="H8" s="25" t="s">
        <v>38</v>
      </c>
    </row>
    <row r="9" spans="1:8" ht="42" customHeight="1" x14ac:dyDescent="0.15">
      <c r="A9" s="31" t="s">
        <v>142</v>
      </c>
      <c r="B9" s="31" t="s">
        <v>113</v>
      </c>
      <c r="C9" s="35" t="n">
        <v>2649.03</v>
      </c>
      <c r="D9" s="32" t="n">
        <v>46316.0</v>
      </c>
      <c r="E9" s="33" t="s">
        <v>91</v>
      </c>
      <c r="F9" s="32"/>
      <c r="G9" s="35" t="n">
        <v>2649.03</v>
      </c>
      <c r="H9" s="32" t="n">
        <v>46315.0</v>
      </c>
    </row>
  </sheetData>
  <autoFilter ref="A8:H9"/>
  <mergeCells count="2">
    <mergeCell ref="A1:H2"/>
    <mergeCell ref="A6:C6"/>
  </mergeCells>
  <pageMargins left="0.23622047244094491" right="0.23622047244094491" top="0.74803149606299213" bottom="0.74803149606299213" header="0.31496062992125978" footer="0.31496062992125978"/>
  <pageSetup paperSize="9" orientation="landscape" horizontalDpi="1200" verticalDpi="1200"/>
  <headerFooter>
    <oddFooter>&amp;R&amp;"Arial,Normale"&amp;10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3</vt:i4>
      </vt:variant>
    </vt:vector>
  </HeadingPairs>
  <TitlesOfParts>
    <vt:vector size="10" baseType="lpstr">
      <vt:lpstr>AZIMUT - GESTITO</vt:lpstr>
      <vt:lpstr>AZIMUT - ECONOMIA REALE</vt:lpstr>
      <vt:lpstr>AZIMUT - ASS. FINANZIARIO</vt:lpstr>
      <vt:lpstr>AZIMUT - PREVIDENZA</vt:lpstr>
      <vt:lpstr>AZIMUT - ASS. TRADIZIONALE</vt:lpstr>
      <vt:lpstr>AZIMUT - AMMINISTRATO</vt:lpstr>
      <vt:lpstr>AZIMUT - LIQUIDITA</vt:lpstr>
      <vt:lpstr>'AZIMUT - ECONOMIA REALE'!Tabella</vt:lpstr>
      <vt:lpstr>'AZIMUT - PREVIDENZA'!Tabella</vt:lpstr>
      <vt:lpstr>Tabella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Marco Palmisano</dc:creator>
  <cp:lastModifiedBy>Technology</cp:lastModifiedBy>
  <cp:lastPrinted>2022-05-16T14:21:08Z</cp:lastPrinted>
  <dcterms:modified xsi:type="dcterms:W3CDTF">2026-06-08T10:11:55Z</dcterms:modified>
</cp:coreProperties>
</file>